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ean-luc1515/Downloads/"/>
    </mc:Choice>
  </mc:AlternateContent>
  <xr:revisionPtr revIDLastSave="0" documentId="13_ncr:1_{5777CA8F-47FC-204F-8A5C-80E5CC48DE0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Unit Econom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47" i="1"/>
  <c r="C34" i="1"/>
  <c r="D36" i="1" s="1"/>
  <c r="C31" i="1"/>
  <c r="C25" i="1"/>
  <c r="C19" i="1"/>
  <c r="C20" i="1" s="1"/>
  <c r="C18" i="1"/>
  <c r="B8" i="1"/>
  <c r="D37" i="1" s="1"/>
  <c r="D41" i="1" l="1"/>
  <c r="D40" i="1"/>
  <c r="C21" i="1"/>
  <c r="C46" i="1"/>
  <c r="B9" i="1"/>
  <c r="D35" i="1"/>
  <c r="C12" i="1"/>
  <c r="C14" i="1" s="1"/>
  <c r="C45" i="1" s="1"/>
  <c r="C49" i="1" s="1"/>
  <c r="B44" i="1" l="1"/>
  <c r="D50" i="1" s="1"/>
  <c r="D51" i="1" s="1"/>
  <c r="D15" i="1"/>
  <c r="D16" i="1" l="1"/>
  <c r="D38" i="1" s="1"/>
  <c r="D42" i="1"/>
</calcChain>
</file>

<file path=xl/sharedStrings.xml><?xml version="1.0" encoding="utf-8"?>
<sst xmlns="http://schemas.openxmlformats.org/spreadsheetml/2006/main" count="95" uniqueCount="91">
  <si>
    <t>Still — Unit Economics, LTV &amp; CAC  |  One unit = one SaaS subscriber</t>
  </si>
  <si>
    <t>Blue = hardcoded inputs  |  Black = formulas  |  Not a business plan — a design &amp; evaluation tool</t>
  </si>
  <si>
    <t>Item</t>
  </si>
  <si>
    <t>Revenue (€)</t>
  </si>
  <si>
    <t>Cost (€)</t>
  </si>
  <si>
    <t>Profit (€)</t>
  </si>
  <si>
    <t>Notes / Source</t>
  </si>
  <si>
    <t>REVENUE — per subscriber / month</t>
  </si>
  <si>
    <t>Monthly plan price (€)</t>
  </si>
  <si>
    <t>Input: Still monthly plan</t>
  </si>
  <si>
    <t>Pro plan price (€)</t>
  </si>
  <si>
    <t>Input: Still Pro plan</t>
  </si>
  <si>
    <t>% of users on Pro plan</t>
  </si>
  <si>
    <t>Input: 30% of subscriber base on Pro</t>
  </si>
  <si>
    <t>Blended ARPU / month (€)</t>
  </si>
  <si>
    <t>Formula: weighted avg of monthly + Pro price</t>
  </si>
  <si>
    <t>Monthly recurring revenue / unit</t>
  </si>
  <si>
    <t>Formula: = blended ARPU</t>
  </si>
  <si>
    <t>COST OF GOODS SOLD — per subscriber / month</t>
  </si>
  <si>
    <t>AI API costs (Midjourney, Flux, Claude)</t>
  </si>
  <si>
    <t>Input: est. avg API usage per active user</t>
  </si>
  <si>
    <t>Stripe transaction fee (2.9% of ARPU)</t>
  </si>
  <si>
    <t>Formula: 2.9% × blended ARPU</t>
  </si>
  <si>
    <t>Remotion rendering</t>
  </si>
  <si>
    <t>Input: est. avg video render cost / user</t>
  </si>
  <si>
    <t>COGS total / unit / month</t>
  </si>
  <si>
    <t>Formula: sum of API + Stripe + rendering</t>
  </si>
  <si>
    <t>Gross Profit / unit / month</t>
  </si>
  <si>
    <t>Formula: ARPU − COGS</t>
  </si>
  <si>
    <t>Gross Profit Margin</t>
  </si>
  <si>
    <t>Formula: Gross Profit ÷ Revenue</t>
  </si>
  <si>
    <t>LABOR — monthly</t>
  </si>
  <si>
    <t>Jean-Luc (me) — client-facing, creative direction</t>
  </si>
  <si>
    <t>20 hrs/wk × €50/hr × 4 weeks</t>
  </si>
  <si>
    <t>Alberto — product &amp; tech (platform build)</t>
  </si>
  <si>
    <t>Labor total / month</t>
  </si>
  <si>
    <t>Biggest cost — time is main constraint</t>
  </si>
  <si>
    <t>Labor cost per subscriber (at 100 users)</t>
  </si>
  <si>
    <t>Input denominator: target subscriber base</t>
  </si>
  <si>
    <t>MARKETING &amp; SALES — monthly</t>
  </si>
  <si>
    <t>Meta ads spend / month</t>
  </si>
  <si>
    <t>Input: monthly Meta ad budget (traction test phase)</t>
  </si>
  <si>
    <t>New subscribers acquired / month</t>
  </si>
  <si>
    <t>Input: conservative est. — 2% conversion on ~500 LP visits</t>
  </si>
  <si>
    <t>Customer Acquisition Cost (CAC)</t>
  </si>
  <si>
    <t>Formula: Meta spend ÷ new subscribers</t>
  </si>
  <si>
    <t>CAC via €49 trial (decoy offer)</t>
  </si>
  <si>
    <t>Input: trial self-funds acquisition for direct converts</t>
  </si>
  <si>
    <t>OTHER COSTS — monthly</t>
  </si>
  <si>
    <t>Hosting / Framer / domain</t>
  </si>
  <si>
    <t>Input</t>
  </si>
  <si>
    <t>Notion / Figma / tooling subs</t>
  </si>
  <si>
    <t>Midjourney base subscription</t>
  </si>
  <si>
    <t>Other costs total</t>
  </si>
  <si>
    <t>Formula: sum</t>
  </si>
  <si>
    <t>LIFETIME VALUE (LTV) — Disciplined Entrepreneurship Step 17</t>
  </si>
  <si>
    <t>Monthly churn rate (%)</t>
  </si>
  <si>
    <t>Input: 5% — conservative SMB SaaS (industry avg 3–8%)</t>
  </si>
  <si>
    <t>Average customer lifespan (months)</t>
  </si>
  <si>
    <t>Formula: 1 ÷ churn rate</t>
  </si>
  <si>
    <t>LTV — monthly plan (€79/mo)</t>
  </si>
  <si>
    <t>Formula: price × avg lifespan</t>
  </si>
  <si>
    <t>LTV — Pro plan (€249/mo)</t>
  </si>
  <si>
    <t>Blended LTV (70% monthly/30% Pro)</t>
  </si>
  <si>
    <t>Formula: blended ARPU × avg lifespan</t>
  </si>
  <si>
    <t>Gross profit per customer</t>
  </si>
  <si>
    <t>Formula: blended LTV × gross margin</t>
  </si>
  <si>
    <t>LTV : CAC RATIO — DE Step 17 benchmark: minimum 3:1</t>
  </si>
  <si>
    <t>LTV : CAC vs Meta CAC</t>
  </si>
  <si>
    <t>Formula: Blended LTV ÷ CAC. Target &gt;3x</t>
  </si>
  <si>
    <t>LTV : CAC vs €49 trial CAC</t>
  </si>
  <si>
    <t>Formula: Blended LTV ÷ €49 trial cost</t>
  </si>
  <si>
    <t>CAC payback period (months)</t>
  </si>
  <si>
    <t>Formula: CAC ÷ monthly gross profit/unit</t>
  </si>
  <si>
    <t>NET PROFIT — monthly at 100 subscribers</t>
  </si>
  <si>
    <t>Total monthly revenue (100 subs)</t>
  </si>
  <si>
    <t>Formula: ARPU × 100 subscribers</t>
  </si>
  <si>
    <t>Total COGS (100 subs)</t>
  </si>
  <si>
    <t>Formula: unit COGS × 100</t>
  </si>
  <si>
    <t>Labor total</t>
  </si>
  <si>
    <t>Formula: from labor section</t>
  </si>
  <si>
    <t>Marketing &amp; Sales</t>
  </si>
  <si>
    <t>Formula: Meta ad spend</t>
  </si>
  <si>
    <t>Other costs</t>
  </si>
  <si>
    <t>Formula: from other costs section</t>
  </si>
  <si>
    <t>Total operating costs</t>
  </si>
  <si>
    <t>Formula: COGS + labor + marketing + other</t>
  </si>
  <si>
    <t>Net Profit / month</t>
  </si>
  <si>
    <t>Formula: revenue − total costs</t>
  </si>
  <si>
    <t>Net Profit Margin</t>
  </si>
  <si>
    <t>Formula: net profit ÷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</si>
</sst>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.00"/>
    <numFmt numFmtId="165" formatCode="0.0%"/>
    <numFmt numFmtId="166" formatCode="0.0"/>
    <numFmt numFmtId="167" formatCode="0.0&quot;x&quot;"/>
    <numFmt numFmtId="168" formatCode="0.0&quot; mo&quot;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888888"/>
      <name val="Arial"/>
    </font>
    <font>
      <b/>
      <sz val="10"/>
      <color rgb="FFFFFFFF"/>
      <name val="Arial"/>
    </font>
    <font>
      <b/>
      <sz val="10"/>
      <color rgb="FF3C3489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000000"/>
      <name val="Arial"/>
    </font>
    <font>
      <b/>
      <sz val="11"/>
      <color rgb="FFFF0000"/>
      <name val="Arial"/>
      <family val="2"/>
    </font>
    <font>
      <i/>
      <sz val="11"/>
      <color rgb="FFFF0000"/>
      <name val="Arial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6215C"/>
      </patternFill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E8E6F8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3C348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6" fillId="0" borderId="0" xfId="0" applyNumberFormat="1" applyFont="1" applyAlignment="1">
      <alignment horizontal="right" vertical="center"/>
    </xf>
    <xf numFmtId="9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4" fontId="5" fillId="5" borderId="0" xfId="0" applyNumberFormat="1" applyFont="1" applyFill="1" applyAlignment="1">
      <alignment horizontal="right" vertical="center"/>
    </xf>
    <xf numFmtId="164" fontId="7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7" fontId="7" fillId="6" borderId="0" xfId="0" applyNumberFormat="1" applyFont="1" applyFill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0" fontId="3" fillId="8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M13" sqref="M13"/>
    </sheetView>
  </sheetViews>
  <sheetFormatPr baseColWidth="10" defaultColWidth="8.83203125" defaultRowHeight="15" x14ac:dyDescent="0.2"/>
  <cols>
    <col min="1" max="1" width="38" customWidth="1"/>
    <col min="2" max="4" width="16" customWidth="1"/>
    <col min="5" max="5" width="36" style="23" customWidth="1"/>
  </cols>
  <sheetData>
    <row r="1" spans="1:5" ht="26" customHeight="1" x14ac:dyDescent="0.2">
      <c r="A1" s="20" t="s">
        <v>0</v>
      </c>
      <c r="B1" s="17"/>
      <c r="C1" s="17"/>
      <c r="D1" s="17"/>
      <c r="E1" s="17"/>
    </row>
    <row r="2" spans="1:5" ht="16" customHeight="1" x14ac:dyDescent="0.2">
      <c r="A2" s="18" t="s">
        <v>1</v>
      </c>
      <c r="B2" s="17"/>
      <c r="C2" s="17"/>
      <c r="D2" s="17"/>
      <c r="E2" s="17"/>
    </row>
    <row r="3" spans="1:5" ht="2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21" t="s">
        <v>6</v>
      </c>
    </row>
    <row r="4" spans="1:5" ht="20" customHeight="1" x14ac:dyDescent="0.2">
      <c r="A4" s="19" t="s">
        <v>7</v>
      </c>
      <c r="B4" s="17"/>
      <c r="C4" s="17"/>
      <c r="D4" s="17"/>
      <c r="E4" s="17"/>
    </row>
    <row r="5" spans="1:5" ht="18" customHeight="1" x14ac:dyDescent="0.2">
      <c r="A5" s="2" t="s">
        <v>8</v>
      </c>
      <c r="B5" s="3">
        <v>79</v>
      </c>
      <c r="E5" s="22" t="s">
        <v>9</v>
      </c>
    </row>
    <row r="6" spans="1:5" ht="18" customHeight="1" x14ac:dyDescent="0.2">
      <c r="A6" s="2" t="s">
        <v>10</v>
      </c>
      <c r="B6" s="3">
        <v>249</v>
      </c>
      <c r="E6" s="22" t="s">
        <v>11</v>
      </c>
    </row>
    <row r="7" spans="1:5" ht="18" customHeight="1" x14ac:dyDescent="0.2">
      <c r="A7" s="2" t="s">
        <v>12</v>
      </c>
      <c r="B7" s="4">
        <v>0.3</v>
      </c>
      <c r="E7" s="22" t="s">
        <v>13</v>
      </c>
    </row>
    <row r="8" spans="1:5" ht="18" customHeight="1" x14ac:dyDescent="0.2">
      <c r="A8" s="2" t="s">
        <v>14</v>
      </c>
      <c r="B8" s="5">
        <f>B5*(1-B7)+B6*B7</f>
        <v>130</v>
      </c>
      <c r="E8" s="22" t="s">
        <v>15</v>
      </c>
    </row>
    <row r="9" spans="1:5" ht="18" customHeight="1" x14ac:dyDescent="0.2">
      <c r="A9" s="2" t="s">
        <v>16</v>
      </c>
      <c r="B9" s="5">
        <f>B8</f>
        <v>130</v>
      </c>
      <c r="E9" s="22" t="s">
        <v>17</v>
      </c>
    </row>
    <row r="10" spans="1:5" ht="20" customHeight="1" x14ac:dyDescent="0.2">
      <c r="A10" s="19" t="s">
        <v>18</v>
      </c>
      <c r="B10" s="17"/>
      <c r="C10" s="17"/>
      <c r="D10" s="17"/>
      <c r="E10" s="17"/>
    </row>
    <row r="11" spans="1:5" ht="18" customHeight="1" x14ac:dyDescent="0.2">
      <c r="A11" s="2" t="s">
        <v>19</v>
      </c>
      <c r="C11" s="3">
        <v>8</v>
      </c>
      <c r="E11" s="22" t="s">
        <v>20</v>
      </c>
    </row>
    <row r="12" spans="1:5" ht="18" customHeight="1" x14ac:dyDescent="0.2">
      <c r="A12" s="2" t="s">
        <v>21</v>
      </c>
      <c r="C12" s="5">
        <f>B8*0.029</f>
        <v>3.77</v>
      </c>
      <c r="E12" s="22" t="s">
        <v>22</v>
      </c>
    </row>
    <row r="13" spans="1:5" ht="18" customHeight="1" x14ac:dyDescent="0.2">
      <c r="A13" s="2" t="s">
        <v>23</v>
      </c>
      <c r="C13" s="3">
        <v>2</v>
      </c>
      <c r="E13" s="22" t="s">
        <v>24</v>
      </c>
    </row>
    <row r="14" spans="1:5" ht="18" customHeight="1" x14ac:dyDescent="0.2">
      <c r="A14" s="6" t="s">
        <v>25</v>
      </c>
      <c r="C14" s="7">
        <f>C11+C12+C13</f>
        <v>13.77</v>
      </c>
      <c r="E14" s="22" t="s">
        <v>26</v>
      </c>
    </row>
    <row r="15" spans="1:5" ht="18" customHeight="1" x14ac:dyDescent="0.2">
      <c r="A15" s="6" t="s">
        <v>27</v>
      </c>
      <c r="D15" s="8">
        <f>B9-C14</f>
        <v>116.23</v>
      </c>
      <c r="E15" s="22" t="s">
        <v>28</v>
      </c>
    </row>
    <row r="16" spans="1:5" ht="18" customHeight="1" x14ac:dyDescent="0.2">
      <c r="A16" s="2" t="s">
        <v>29</v>
      </c>
      <c r="D16" s="9">
        <f>D15/B9</f>
        <v>0.8940769230769231</v>
      </c>
      <c r="E16" s="22" t="s">
        <v>30</v>
      </c>
    </row>
    <row r="17" spans="1:5" ht="20" customHeight="1" x14ac:dyDescent="0.2">
      <c r="A17" s="19" t="s">
        <v>31</v>
      </c>
      <c r="B17" s="17"/>
      <c r="C17" s="17"/>
      <c r="D17" s="17"/>
      <c r="E17" s="17"/>
    </row>
    <row r="18" spans="1:5" ht="18" customHeight="1" x14ac:dyDescent="0.2">
      <c r="A18" s="2" t="s">
        <v>32</v>
      </c>
      <c r="C18" s="5">
        <f>20*50*4</f>
        <v>4000</v>
      </c>
      <c r="E18" s="22" t="s">
        <v>33</v>
      </c>
    </row>
    <row r="19" spans="1:5" ht="18" customHeight="1" x14ac:dyDescent="0.2">
      <c r="A19" s="2" t="s">
        <v>34</v>
      </c>
      <c r="C19" s="5">
        <f>20*50*4</f>
        <v>4000</v>
      </c>
      <c r="E19" s="22" t="s">
        <v>33</v>
      </c>
    </row>
    <row r="20" spans="1:5" ht="18" customHeight="1" x14ac:dyDescent="0.2">
      <c r="A20" s="6" t="s">
        <v>35</v>
      </c>
      <c r="C20" s="7">
        <f>C18+C19</f>
        <v>8000</v>
      </c>
      <c r="E20" s="22" t="s">
        <v>36</v>
      </c>
    </row>
    <row r="21" spans="1:5" ht="18" customHeight="1" x14ac:dyDescent="0.2">
      <c r="A21" s="2" t="s">
        <v>37</v>
      </c>
      <c r="C21" s="5">
        <f>C20/100</f>
        <v>80</v>
      </c>
      <c r="E21" s="22" t="s">
        <v>38</v>
      </c>
    </row>
    <row r="22" spans="1:5" ht="20" customHeight="1" x14ac:dyDescent="0.2">
      <c r="A22" s="19" t="s">
        <v>39</v>
      </c>
      <c r="B22" s="17"/>
      <c r="C22" s="17"/>
      <c r="D22" s="17"/>
      <c r="E22" s="17"/>
    </row>
    <row r="23" spans="1:5" ht="18" customHeight="1" x14ac:dyDescent="0.2">
      <c r="A23" s="2" t="s">
        <v>40</v>
      </c>
      <c r="C23" s="3">
        <v>500</v>
      </c>
      <c r="E23" s="22" t="s">
        <v>41</v>
      </c>
    </row>
    <row r="24" spans="1:5" ht="18" customHeight="1" x14ac:dyDescent="0.2">
      <c r="A24" s="2" t="s">
        <v>42</v>
      </c>
      <c r="B24" s="10">
        <v>10</v>
      </c>
      <c r="E24" s="22" t="s">
        <v>43</v>
      </c>
    </row>
    <row r="25" spans="1:5" ht="18" customHeight="1" x14ac:dyDescent="0.2">
      <c r="A25" s="6" t="s">
        <v>44</v>
      </c>
      <c r="C25" s="11">
        <f>C23/B24</f>
        <v>50</v>
      </c>
      <c r="E25" s="22" t="s">
        <v>45</v>
      </c>
    </row>
    <row r="26" spans="1:5" ht="18" customHeight="1" x14ac:dyDescent="0.2">
      <c r="A26" s="2" t="s">
        <v>46</v>
      </c>
      <c r="C26" s="3">
        <v>49</v>
      </c>
      <c r="E26" s="22" t="s">
        <v>47</v>
      </c>
    </row>
    <row r="27" spans="1:5" ht="20" customHeight="1" x14ac:dyDescent="0.2">
      <c r="A27" s="19" t="s">
        <v>48</v>
      </c>
      <c r="B27" s="17"/>
      <c r="C27" s="17"/>
      <c r="D27" s="17"/>
      <c r="E27" s="17"/>
    </row>
    <row r="28" spans="1:5" ht="18" customHeight="1" x14ac:dyDescent="0.2">
      <c r="A28" s="2" t="s">
        <v>49</v>
      </c>
      <c r="C28" s="3">
        <v>30</v>
      </c>
      <c r="E28" s="22" t="s">
        <v>50</v>
      </c>
    </row>
    <row r="29" spans="1:5" ht="18" customHeight="1" x14ac:dyDescent="0.2">
      <c r="A29" s="2" t="s">
        <v>51</v>
      </c>
      <c r="C29" s="3">
        <v>50</v>
      </c>
      <c r="E29" s="22" t="s">
        <v>50</v>
      </c>
    </row>
    <row r="30" spans="1:5" ht="18" customHeight="1" x14ac:dyDescent="0.2">
      <c r="A30" s="2" t="s">
        <v>52</v>
      </c>
      <c r="C30" s="3">
        <v>30</v>
      </c>
      <c r="E30" s="22" t="s">
        <v>50</v>
      </c>
    </row>
    <row r="31" spans="1:5" ht="18" customHeight="1" x14ac:dyDescent="0.2">
      <c r="A31" s="6" t="s">
        <v>53</v>
      </c>
      <c r="C31" s="7">
        <f>C28+C29+C30</f>
        <v>110</v>
      </c>
      <c r="E31" s="22" t="s">
        <v>54</v>
      </c>
    </row>
    <row r="32" spans="1:5" ht="20" customHeight="1" x14ac:dyDescent="0.2">
      <c r="A32" s="19" t="s">
        <v>55</v>
      </c>
      <c r="B32" s="17"/>
      <c r="C32" s="17"/>
      <c r="D32" s="17"/>
      <c r="E32" s="17"/>
    </row>
    <row r="33" spans="1:5" ht="18" customHeight="1" x14ac:dyDescent="0.2">
      <c r="A33" s="2" t="s">
        <v>56</v>
      </c>
      <c r="C33" s="12">
        <v>0.05</v>
      </c>
      <c r="E33" s="22" t="s">
        <v>57</v>
      </c>
    </row>
    <row r="34" spans="1:5" ht="18" customHeight="1" x14ac:dyDescent="0.2">
      <c r="A34" s="2" t="s">
        <v>58</v>
      </c>
      <c r="C34" s="13">
        <f>1/C33</f>
        <v>20</v>
      </c>
      <c r="E34" s="22" t="s">
        <v>59</v>
      </c>
    </row>
    <row r="35" spans="1:5" ht="18" customHeight="1" x14ac:dyDescent="0.2">
      <c r="A35" s="6" t="s">
        <v>60</v>
      </c>
      <c r="D35" s="8">
        <f>B5*C34</f>
        <v>1580</v>
      </c>
      <c r="E35" s="22" t="s">
        <v>61</v>
      </c>
    </row>
    <row r="36" spans="1:5" ht="18" customHeight="1" x14ac:dyDescent="0.2">
      <c r="A36" s="6" t="s">
        <v>62</v>
      </c>
      <c r="D36" s="8">
        <f>B6*C34</f>
        <v>4980</v>
      </c>
      <c r="E36" s="22" t="s">
        <v>61</v>
      </c>
    </row>
    <row r="37" spans="1:5" ht="18" customHeight="1" x14ac:dyDescent="0.2">
      <c r="A37" s="6" t="s">
        <v>63</v>
      </c>
      <c r="D37" s="8">
        <f>B8*C34</f>
        <v>2600</v>
      </c>
      <c r="E37" s="22" t="s">
        <v>64</v>
      </c>
    </row>
    <row r="38" spans="1:5" ht="18" customHeight="1" x14ac:dyDescent="0.2">
      <c r="A38" s="6" t="s">
        <v>65</v>
      </c>
      <c r="D38" s="8">
        <f>D37*D16</f>
        <v>2324.6</v>
      </c>
      <c r="E38" s="22" t="s">
        <v>66</v>
      </c>
    </row>
    <row r="39" spans="1:5" ht="22" customHeight="1" x14ac:dyDescent="0.2">
      <c r="A39" s="16" t="s">
        <v>67</v>
      </c>
      <c r="B39" s="17"/>
      <c r="C39" s="17"/>
      <c r="D39" s="17"/>
      <c r="E39" s="17"/>
    </row>
    <row r="40" spans="1:5" ht="18" customHeight="1" x14ac:dyDescent="0.2">
      <c r="A40" s="6" t="s">
        <v>68</v>
      </c>
      <c r="D40" s="14">
        <f>D37/C25</f>
        <v>52</v>
      </c>
      <c r="E40" s="22" t="s">
        <v>69</v>
      </c>
    </row>
    <row r="41" spans="1:5" ht="18" customHeight="1" x14ac:dyDescent="0.2">
      <c r="A41" s="6" t="s">
        <v>70</v>
      </c>
      <c r="D41" s="14">
        <f>D37/C26</f>
        <v>53.061224489795919</v>
      </c>
      <c r="E41" s="22" t="s">
        <v>71</v>
      </c>
    </row>
    <row r="42" spans="1:5" ht="18" customHeight="1" x14ac:dyDescent="0.2">
      <c r="A42" s="2" t="s">
        <v>72</v>
      </c>
      <c r="D42" s="15">
        <f>C25/D15</f>
        <v>0.43018153660844877</v>
      </c>
      <c r="E42" s="22" t="s">
        <v>73</v>
      </c>
    </row>
    <row r="43" spans="1:5" ht="20" customHeight="1" x14ac:dyDescent="0.2">
      <c r="A43" s="19" t="s">
        <v>74</v>
      </c>
      <c r="B43" s="17"/>
      <c r="C43" s="17"/>
      <c r="D43" s="17"/>
      <c r="E43" s="17"/>
    </row>
    <row r="44" spans="1:5" ht="18" customHeight="1" x14ac:dyDescent="0.2">
      <c r="A44" s="2" t="s">
        <v>75</v>
      </c>
      <c r="B44" s="5">
        <f>B9*100</f>
        <v>13000</v>
      </c>
      <c r="E44" s="22" t="s">
        <v>76</v>
      </c>
    </row>
    <row r="45" spans="1:5" ht="18" customHeight="1" x14ac:dyDescent="0.2">
      <c r="A45" s="2" t="s">
        <v>77</v>
      </c>
      <c r="C45" s="5">
        <f>C14*100</f>
        <v>1377</v>
      </c>
      <c r="E45" s="22" t="s">
        <v>78</v>
      </c>
    </row>
    <row r="46" spans="1:5" ht="18" customHeight="1" x14ac:dyDescent="0.2">
      <c r="A46" s="2" t="s">
        <v>79</v>
      </c>
      <c r="C46" s="5">
        <f>C20</f>
        <v>8000</v>
      </c>
      <c r="E46" s="22" t="s">
        <v>80</v>
      </c>
    </row>
    <row r="47" spans="1:5" ht="18" customHeight="1" x14ac:dyDescent="0.2">
      <c r="A47" s="2" t="s">
        <v>81</v>
      </c>
      <c r="C47" s="5">
        <f>C23</f>
        <v>500</v>
      </c>
      <c r="E47" s="22" t="s">
        <v>82</v>
      </c>
    </row>
    <row r="48" spans="1:5" ht="18" customHeight="1" x14ac:dyDescent="0.2">
      <c r="A48" s="2" t="s">
        <v>83</v>
      </c>
      <c r="C48" s="5">
        <f>C31</f>
        <v>110</v>
      </c>
      <c r="E48" s="22" t="s">
        <v>84</v>
      </c>
    </row>
    <row r="49" spans="1:5" ht="18" customHeight="1" x14ac:dyDescent="0.2">
      <c r="A49" s="6" t="s">
        <v>85</v>
      </c>
      <c r="C49" s="7">
        <f>C45+C46+C47+C48</f>
        <v>9987</v>
      </c>
      <c r="E49" s="22" t="s">
        <v>86</v>
      </c>
    </row>
    <row r="50" spans="1:5" ht="18" customHeight="1" x14ac:dyDescent="0.2">
      <c r="A50" s="6" t="s">
        <v>87</v>
      </c>
      <c r="D50" s="8">
        <f>B44-C49</f>
        <v>3013</v>
      </c>
      <c r="E50" s="22" t="s">
        <v>88</v>
      </c>
    </row>
    <row r="51" spans="1:5" ht="18" customHeight="1" x14ac:dyDescent="0.2">
      <c r="A51" s="2" t="s">
        <v>89</v>
      </c>
      <c r="D51" s="9">
        <f>D50/B44</f>
        <v>0.23176923076923078</v>
      </c>
      <c r="E51" s="22" t="s">
        <v>90</v>
      </c>
    </row>
    <row r="53" spans="1:5" ht="14" customHeight="1" x14ac:dyDescent="0.2">
      <c r="A53" s="18"/>
      <c r="B53" s="17"/>
      <c r="C53" s="17"/>
      <c r="D53" s="17"/>
      <c r="E53" s="17"/>
    </row>
  </sheetData>
  <mergeCells count="11">
    <mergeCell ref="A1:E1"/>
    <mergeCell ref="A32:E32"/>
    <mergeCell ref="A22:E22"/>
    <mergeCell ref="A17:E17"/>
    <mergeCell ref="A27:E27"/>
    <mergeCell ref="A39:E39"/>
    <mergeCell ref="A53:E53"/>
    <mergeCell ref="A4:E4"/>
    <mergeCell ref="A43:E43"/>
    <mergeCell ref="A2:E2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Luc Andre Navarro</cp:lastModifiedBy>
  <dcterms:created xsi:type="dcterms:W3CDTF">2026-04-21T08:58:43Z</dcterms:created>
  <dcterms:modified xsi:type="dcterms:W3CDTF">2026-04-21T09:28:13Z</dcterms:modified>
</cp:coreProperties>
</file>